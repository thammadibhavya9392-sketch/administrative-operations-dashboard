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Master" sheetId="1" r:id="rId5"/>
    <sheet state="visible" name="Attendance" sheetId="2" r:id="rId6"/>
    <sheet state="visible" name="Meeting_Scheduler" sheetId="3" r:id="rId7"/>
    <sheet state="visible" name="Expense_Tracker" sheetId="4" r:id="rId8"/>
    <sheet state="visible" name="Dashboard" sheetId="5" r:id="rId9"/>
  </sheets>
  <definedNames>
    <definedName hidden="1" localSheetId="1" name="_xlnm._FilterDatabase">Attendance!$A$1:$G$16</definedName>
    <definedName hidden="1" localSheetId="2" name="_xlnm._FilterDatabase">Meeting_Scheduler!$A$1:$I$11</definedName>
    <definedName hidden="1" localSheetId="3" name="_xlnm._FilterDatabase">Expense_Tracker!$A$1:$H$11</definedName>
  </definedNames>
  <calcPr/>
</workbook>
</file>

<file path=xl/sharedStrings.xml><?xml version="1.0" encoding="utf-8"?>
<sst xmlns="http://schemas.openxmlformats.org/spreadsheetml/2006/main" count="355" uniqueCount="164">
  <si>
    <t>Employee ID</t>
  </si>
  <si>
    <t>Employee Name</t>
  </si>
  <si>
    <t>Department</t>
  </si>
  <si>
    <t>Designation</t>
  </si>
  <si>
    <t>Manager</t>
  </si>
  <si>
    <t>Email</t>
  </si>
  <si>
    <t>Location</t>
  </si>
  <si>
    <t>EMP001</t>
  </si>
  <si>
    <t>Rahul Sharma</t>
  </si>
  <si>
    <t>HR</t>
  </si>
  <si>
    <t>HR Executive</t>
  </si>
  <si>
    <t>Priya Menon</t>
  </si>
  <si>
    <t>rahul@company.com</t>
  </si>
  <si>
    <t>Hyderabad</t>
  </si>
  <si>
    <t>EMP002</t>
  </si>
  <si>
    <t>Sneha Reddy</t>
  </si>
  <si>
    <t>Finance</t>
  </si>
  <si>
    <t>Analyst</t>
  </si>
  <si>
    <t>Arjun Rao</t>
  </si>
  <si>
    <t>sneha@company.com</t>
  </si>
  <si>
    <t>EMP003</t>
  </si>
  <si>
    <t>Amit Kumar</t>
  </si>
  <si>
    <t>Operations</t>
  </si>
  <si>
    <t>Coordinator</t>
  </si>
  <si>
    <t>Neha Singh</t>
  </si>
  <si>
    <t>amit@company.com</t>
  </si>
  <si>
    <t>Bengaluru</t>
  </si>
  <si>
    <t>EMP004</t>
  </si>
  <si>
    <t>Pooja Patel</t>
  </si>
  <si>
    <t>Admin</t>
  </si>
  <si>
    <t>Executive</t>
  </si>
  <si>
    <t>Rakesh Verma</t>
  </si>
  <si>
    <t>pooja@company.com</t>
  </si>
  <si>
    <t>EMP005</t>
  </si>
  <si>
    <t>Kiran Rao</t>
  </si>
  <si>
    <t>IT</t>
  </si>
  <si>
    <t>Support Engineer</t>
  </si>
  <si>
    <t>Mohan Gupta</t>
  </si>
  <si>
    <t>kiran@company.com</t>
  </si>
  <si>
    <t>Pune</t>
  </si>
  <si>
    <t>EMP006</t>
  </si>
  <si>
    <t>Anjali Nair</t>
  </si>
  <si>
    <t>Recruiter</t>
  </si>
  <si>
    <t>anjali@company.com</t>
  </si>
  <si>
    <t>EMP007</t>
  </si>
  <si>
    <t>Rohit Verma</t>
  </si>
  <si>
    <t>Associate</t>
  </si>
  <si>
    <t>rohit@company.com</t>
  </si>
  <si>
    <t>Chennai</t>
  </si>
  <si>
    <t>EMP008</t>
  </si>
  <si>
    <t>Divya Singh</t>
  </si>
  <si>
    <t>Assistant</t>
  </si>
  <si>
    <t>divya@company.com</t>
  </si>
  <si>
    <t>EMP009</t>
  </si>
  <si>
    <t>Naveen Kumar</t>
  </si>
  <si>
    <t>naveen@company.com</t>
  </si>
  <si>
    <t>EMP010</t>
  </si>
  <si>
    <t>Meera Joshi</t>
  </si>
  <si>
    <t>meera@company.com</t>
  </si>
  <si>
    <t>EMP011</t>
  </si>
  <si>
    <t>Suresh R</t>
  </si>
  <si>
    <t>suresh@company.com</t>
  </si>
  <si>
    <t>EMP012</t>
  </si>
  <si>
    <t>Kavya S</t>
  </si>
  <si>
    <t>kavya@company.com</t>
  </si>
  <si>
    <t>EMP013</t>
  </si>
  <si>
    <t>Varun P</t>
  </si>
  <si>
    <t>varun@company.com</t>
  </si>
  <si>
    <t>EMP014</t>
  </si>
  <si>
    <t>Harsha K</t>
  </si>
  <si>
    <t>harsha@company.com</t>
  </si>
  <si>
    <t>EMP015</t>
  </si>
  <si>
    <t>Nikhil G</t>
  </si>
  <si>
    <t>Mohan G</t>
  </si>
  <si>
    <t>Date</t>
  </si>
  <si>
    <t>Check-in</t>
  </si>
  <si>
    <t>Check-out</t>
  </si>
  <si>
    <t>Status</t>
  </si>
  <si>
    <t>Present</t>
  </si>
  <si>
    <t>Late</t>
  </si>
  <si>
    <t>-</t>
  </si>
  <si>
    <t>Absent</t>
  </si>
  <si>
    <t>Meeting ID</t>
  </si>
  <si>
    <t>Time</t>
  </si>
  <si>
    <t>Meeting Title</t>
  </si>
  <si>
    <t>Organizer</t>
  </si>
  <si>
    <t>Meeting Room</t>
  </si>
  <si>
    <t>Participants</t>
  </si>
  <si>
    <t>M001</t>
  </si>
  <si>
    <t>Weekly HR Review</t>
  </si>
  <si>
    <t>Conference Room A</t>
  </si>
  <si>
    <t>Completed</t>
  </si>
  <si>
    <t>M002</t>
  </si>
  <si>
    <t>Budget Planning</t>
  </si>
  <si>
    <t>Conference Room B</t>
  </si>
  <si>
    <t>M003</t>
  </si>
  <si>
    <t>Operations Review</t>
  </si>
  <si>
    <t>M004</t>
  </si>
  <si>
    <t>Admin Team Sync</t>
  </si>
  <si>
    <t>Meeting Room 1</t>
  </si>
  <si>
    <t>Scheduled</t>
  </si>
  <si>
    <t>M005</t>
  </si>
  <si>
    <t>IT Infrastructure Update</t>
  </si>
  <si>
    <t>Conference Room C</t>
  </si>
  <si>
    <t>M006</t>
  </si>
  <si>
    <t>Recruitment Planning</t>
  </si>
  <si>
    <t>M007</t>
  </si>
  <si>
    <t>Quarterly Finance Review</t>
  </si>
  <si>
    <t>Board Room</t>
  </si>
  <si>
    <t>M008</t>
  </si>
  <si>
    <t>Vendor Coordination</t>
  </si>
  <si>
    <t>Meeting Room 2</t>
  </si>
  <si>
    <t>M009</t>
  </si>
  <si>
    <t>Process Improvement</t>
  </si>
  <si>
    <t>Cancelled</t>
  </si>
  <si>
    <t>M010</t>
  </si>
  <si>
    <t>Security Audit</t>
  </si>
  <si>
    <t>Expense ID</t>
  </si>
  <si>
    <t>Category</t>
  </si>
  <si>
    <t>Description</t>
  </si>
  <si>
    <t>Requested By</t>
  </si>
  <si>
    <t>Amount (₹)</t>
  </si>
  <si>
    <t>Approval Status</t>
  </si>
  <si>
    <t>EXP001</t>
  </si>
  <si>
    <t>Travel</t>
  </si>
  <si>
    <t>Client Meeting Travel</t>
  </si>
  <si>
    <t>Approved</t>
  </si>
  <si>
    <t>EXP002</t>
  </si>
  <si>
    <t>Office Supplies</t>
  </si>
  <si>
    <t>Stationery Purchase</t>
  </si>
  <si>
    <t>EXP003</t>
  </si>
  <si>
    <t>Food</t>
  </si>
  <si>
    <t>Team Lunch</t>
  </si>
  <si>
    <t>Pending</t>
  </si>
  <si>
    <t>EXP004</t>
  </si>
  <si>
    <t>Internet</t>
  </si>
  <si>
    <t>Broadband Recharge</t>
  </si>
  <si>
    <t>EXP005</t>
  </si>
  <si>
    <t>Airport Taxi</t>
  </si>
  <si>
    <t>Rejected</t>
  </si>
  <si>
    <t>EXP006</t>
  </si>
  <si>
    <t>Printing</t>
  </si>
  <si>
    <t>Report Printing</t>
  </si>
  <si>
    <t>EXP007</t>
  </si>
  <si>
    <t>Training</t>
  </si>
  <si>
    <t>Online Course Fee</t>
  </si>
  <si>
    <t>EXP008</t>
  </si>
  <si>
    <t>Accommodation</t>
  </si>
  <si>
    <t>Hotel Stay</t>
  </si>
  <si>
    <t>EXP009</t>
  </si>
  <si>
    <t>Client Refreshments</t>
  </si>
  <si>
    <t>EXP010</t>
  </si>
  <si>
    <t>Printer Ink</t>
  </si>
  <si>
    <t>Administrative Operations Dashboard-Excel Project</t>
  </si>
  <si>
    <t>Prepared by:</t>
  </si>
  <si>
    <t>Bhavya Thammadi</t>
  </si>
  <si>
    <t>Employees</t>
  </si>
  <si>
    <t>Total Employees</t>
  </si>
  <si>
    <t>Present (Inc. Late)</t>
  </si>
  <si>
    <t>Absent Employees</t>
  </si>
  <si>
    <t>Total Meetings</t>
  </si>
  <si>
    <t>Scheduled Meetings</t>
  </si>
  <si>
    <t>Total Expenses (₹)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</si>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</sst>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hh:mm"/>
    <numFmt numFmtId="166" formatCode="[$₹]#,##0.00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4.0"/>
      <color rgb="FFFFFFFF"/>
      <name val="Arial"/>
      <scheme val="minor"/>
    </font>
    <font>
      <sz val="11.0"/>
      <color theme="1"/>
      <name val="Arial"/>
      <scheme val="minor"/>
    </font>
    <font>
      <b/>
      <sz val="22.0"/>
      <color theme="1"/>
      <name val="Arial"/>
      <scheme val="minor"/>
    </font>
    <font>
      <b/>
      <sz val="23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0000FF"/>
        <bgColor rgb="FF0000FF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166" xfId="0" applyFont="1" applyNumberFormat="1"/>
    <xf borderId="0" fillId="3" fontId="4" numFmtId="0" xfId="0" applyAlignment="1" applyFill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1" fillId="4" fontId="6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/>
    </xf>
    <xf borderId="1" fillId="7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9" fontId="6" numFmtId="166" xfId="0" applyAlignment="1" applyBorder="1" applyFill="1" applyFont="1" applyNumberFormat="1">
      <alignment horizont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1">
    <tableStyle count="3" pivot="0" name="Employee_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  <a:r>
              <a:rPr b="0" sz="2000">
                <a:solidFill>
                  <a:srgbClr val="000000"/>
                </a:solidFill>
                <a:latin typeface="Arial black"/>
              </a:rPr>
              <a:t>Meeting status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Dashboard!$K$20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Dashboard!$J$21:$J$23</c:f>
            </c:strRef>
          </c:cat>
          <c:val>
            <c:numRef>
              <c:f>Dashboard!$K$21:$K$23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 black"/>
              </a:defRPr>
            </a:pPr>
            <a:r>
              <a:rPr b="0" sz="1400">
                <a:solidFill>
                  <a:srgbClr val="000000"/>
                </a:solidFill>
                <a:latin typeface="Arial black"/>
              </a:rPr>
              <a:t>Employees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Dashboard!$Q$2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Dashboard!$P$3:$P$7</c:f>
            </c:strRef>
          </c:cat>
          <c:val>
            <c:numRef>
              <c:f>Dashboard!$Q$3:$Q$7</c:f>
              <c:numCache/>
            </c:numRef>
          </c:val>
        </c:ser>
        <c:axId val="1668352147"/>
        <c:axId val="1470489919"/>
      </c:barChart>
      <c:catAx>
        <c:axId val="16683521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470489919"/>
      </c:catAx>
      <c:valAx>
        <c:axId val="14704899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6683521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 black"/>
              </a:defRPr>
            </a:pPr>
            <a:r>
              <a:rPr b="0" sz="1400">
                <a:solidFill>
                  <a:srgbClr val="000000"/>
                </a:solidFill>
                <a:latin typeface="Arial black"/>
              </a:rPr>
              <a:t>Expense by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Dashboard!$Q$9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Dashboard!$P$10:$P$16</c:f>
            </c:strRef>
          </c:cat>
          <c:val>
            <c:numRef>
              <c:f>Dashboard!$Q$10:$Q$16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CE5CD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8</xdr:row>
      <xdr:rowOff>19050</xdr:rowOff>
    </xdr:from>
    <xdr:ext cx="2876550" cy="1743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47625</xdr:rowOff>
    </xdr:from>
    <xdr:ext cx="2876550" cy="1743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</xdr:colOff>
      <xdr:row>7</xdr:row>
      <xdr:rowOff>180975</xdr:rowOff>
    </xdr:from>
    <xdr:ext cx="2914650" cy="1809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Table_1" name="Table_1" id="1">
  <tableColumns count="7">
    <tableColumn name="Employee ID" id="1"/>
    <tableColumn name="Employee Name" id="2"/>
    <tableColumn name="Department" id="3"/>
    <tableColumn name="Designation" id="4"/>
    <tableColumn name="Manager" id="5"/>
    <tableColumn name="Email" id="6"/>
    <tableColumn name="Location" id="7"/>
  </tableColumns>
  <tableStyleInfo name="Employee_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63"/>
    <col customWidth="1" min="3" max="3" width="14.38"/>
    <col customWidth="1" min="4" max="4" width="15.0"/>
    <col customWidth="1" min="5" max="5" width="12.88"/>
    <col customWidth="1" min="6" max="6" width="19.5"/>
    <col customWidth="1" min="7" max="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13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>
      <c r="A7" s="2" t="s">
        <v>40</v>
      </c>
      <c r="B7" s="2" t="s">
        <v>41</v>
      </c>
      <c r="C7" s="2" t="s">
        <v>9</v>
      </c>
      <c r="D7" s="2" t="s">
        <v>42</v>
      </c>
      <c r="E7" s="2" t="s">
        <v>11</v>
      </c>
      <c r="F7" s="2" t="s">
        <v>43</v>
      </c>
      <c r="G7" s="2" t="s">
        <v>13</v>
      </c>
    </row>
    <row r="8">
      <c r="A8" s="2" t="s">
        <v>44</v>
      </c>
      <c r="B8" s="2" t="s">
        <v>45</v>
      </c>
      <c r="C8" s="2" t="s">
        <v>16</v>
      </c>
      <c r="D8" s="2" t="s">
        <v>46</v>
      </c>
      <c r="E8" s="2" t="s">
        <v>18</v>
      </c>
      <c r="F8" s="2" t="s">
        <v>47</v>
      </c>
      <c r="G8" s="2" t="s">
        <v>48</v>
      </c>
    </row>
    <row r="9">
      <c r="A9" s="2" t="s">
        <v>49</v>
      </c>
      <c r="B9" s="2" t="s">
        <v>50</v>
      </c>
      <c r="C9" s="2" t="s">
        <v>29</v>
      </c>
      <c r="D9" s="2" t="s">
        <v>51</v>
      </c>
      <c r="E9" s="2" t="s">
        <v>31</v>
      </c>
      <c r="F9" s="2" t="s">
        <v>52</v>
      </c>
      <c r="G9" s="2" t="s">
        <v>13</v>
      </c>
    </row>
    <row r="10">
      <c r="A10" s="2" t="s">
        <v>53</v>
      </c>
      <c r="B10" s="2" t="s">
        <v>54</v>
      </c>
      <c r="C10" s="2" t="s">
        <v>22</v>
      </c>
      <c r="D10" s="2" t="s">
        <v>30</v>
      </c>
      <c r="E10" s="2" t="s">
        <v>24</v>
      </c>
      <c r="F10" s="2" t="s">
        <v>55</v>
      </c>
      <c r="G10" s="2" t="s">
        <v>26</v>
      </c>
    </row>
    <row r="11">
      <c r="A11" s="2" t="s">
        <v>56</v>
      </c>
      <c r="B11" s="2" t="s">
        <v>57</v>
      </c>
      <c r="C11" s="2" t="s">
        <v>35</v>
      </c>
      <c r="D11" s="2" t="s">
        <v>17</v>
      </c>
      <c r="E11" s="2" t="s">
        <v>37</v>
      </c>
      <c r="F11" s="2" t="s">
        <v>58</v>
      </c>
      <c r="G11" s="2" t="s">
        <v>39</v>
      </c>
    </row>
    <row r="12">
      <c r="A12" s="2" t="s">
        <v>59</v>
      </c>
      <c r="B12" s="2" t="s">
        <v>60</v>
      </c>
      <c r="C12" s="2" t="s">
        <v>16</v>
      </c>
      <c r="D12" s="2" t="s">
        <v>30</v>
      </c>
      <c r="E12" s="2" t="s">
        <v>18</v>
      </c>
      <c r="F12" s="2" t="s">
        <v>61</v>
      </c>
      <c r="G12" s="2" t="s">
        <v>13</v>
      </c>
    </row>
    <row r="13">
      <c r="A13" s="2" t="s">
        <v>62</v>
      </c>
      <c r="B13" s="2" t="s">
        <v>63</v>
      </c>
      <c r="C13" s="2" t="s">
        <v>9</v>
      </c>
      <c r="D13" s="2" t="s">
        <v>23</v>
      </c>
      <c r="E13" s="2" t="s">
        <v>11</v>
      </c>
      <c r="F13" s="2" t="s">
        <v>64</v>
      </c>
      <c r="G13" s="2" t="s">
        <v>48</v>
      </c>
    </row>
    <row r="14">
      <c r="A14" s="2" t="s">
        <v>65</v>
      </c>
      <c r="B14" s="2" t="s">
        <v>66</v>
      </c>
      <c r="C14" s="2" t="s">
        <v>29</v>
      </c>
      <c r="D14" s="2" t="s">
        <v>30</v>
      </c>
      <c r="E14" s="2" t="s">
        <v>31</v>
      </c>
      <c r="F14" s="2" t="s">
        <v>67</v>
      </c>
      <c r="G14" s="2" t="s">
        <v>13</v>
      </c>
    </row>
    <row r="15">
      <c r="A15" s="2" t="s">
        <v>68</v>
      </c>
      <c r="B15" s="2" t="s">
        <v>69</v>
      </c>
      <c r="C15" s="2" t="s">
        <v>22</v>
      </c>
      <c r="D15" s="2" t="s">
        <v>46</v>
      </c>
      <c r="E15" s="2" t="s">
        <v>24</v>
      </c>
      <c r="F15" s="2" t="s">
        <v>70</v>
      </c>
      <c r="G15" s="2" t="s">
        <v>26</v>
      </c>
    </row>
    <row r="16">
      <c r="A16" s="2" t="s">
        <v>71</v>
      </c>
      <c r="B16" s="2" t="s">
        <v>72</v>
      </c>
      <c r="C16" s="2" t="s">
        <v>35</v>
      </c>
      <c r="D16" s="2" t="s">
        <v>36</v>
      </c>
      <c r="E16" s="2" t="s">
        <v>73</v>
      </c>
      <c r="F16" s="3"/>
      <c r="G16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74</v>
      </c>
      <c r="B1" s="4" t="s">
        <v>0</v>
      </c>
      <c r="C1" s="4" t="s">
        <v>1</v>
      </c>
      <c r="D1" s="4" t="s">
        <v>2</v>
      </c>
      <c r="E1" s="4" t="s">
        <v>75</v>
      </c>
      <c r="F1" s="4" t="s">
        <v>76</v>
      </c>
      <c r="G1" s="4" t="s">
        <v>77</v>
      </c>
    </row>
    <row r="2">
      <c r="A2" s="5">
        <v>46204.0</v>
      </c>
      <c r="B2" s="6" t="s">
        <v>7</v>
      </c>
      <c r="C2" s="6" t="s">
        <v>8</v>
      </c>
      <c r="D2" s="6" t="s">
        <v>9</v>
      </c>
      <c r="E2" s="7">
        <v>0.3784722222222222</v>
      </c>
      <c r="F2" s="7">
        <v>0.7604166666666666</v>
      </c>
      <c r="G2" s="6" t="s">
        <v>78</v>
      </c>
    </row>
    <row r="3">
      <c r="A3" s="5">
        <v>46204.0</v>
      </c>
      <c r="B3" s="6" t="s">
        <v>14</v>
      </c>
      <c r="C3" s="6" t="s">
        <v>15</v>
      </c>
      <c r="D3" s="6" t="s">
        <v>16</v>
      </c>
      <c r="E3" s="7">
        <v>0.38333333333333336</v>
      </c>
      <c r="F3" s="7">
        <v>0.7534722222222222</v>
      </c>
      <c r="G3" s="6" t="s">
        <v>78</v>
      </c>
    </row>
    <row r="4">
      <c r="A4" s="5">
        <v>46204.0</v>
      </c>
      <c r="B4" s="6" t="s">
        <v>20</v>
      </c>
      <c r="C4" s="6" t="s">
        <v>21</v>
      </c>
      <c r="D4" s="6" t="s">
        <v>22</v>
      </c>
      <c r="E4" s="7">
        <v>0.3923611111111111</v>
      </c>
      <c r="F4" s="7">
        <v>0.7638888888888888</v>
      </c>
      <c r="G4" s="6" t="s">
        <v>79</v>
      </c>
    </row>
    <row r="5">
      <c r="A5" s="5">
        <v>46204.0</v>
      </c>
      <c r="B5" s="6" t="s">
        <v>27</v>
      </c>
      <c r="C5" s="6" t="s">
        <v>28</v>
      </c>
      <c r="D5" s="6" t="s">
        <v>29</v>
      </c>
      <c r="E5" s="7">
        <v>0.375</v>
      </c>
      <c r="F5" s="7">
        <v>0.75</v>
      </c>
      <c r="G5" s="6" t="s">
        <v>78</v>
      </c>
    </row>
    <row r="6">
      <c r="A6" s="5">
        <v>46204.0</v>
      </c>
      <c r="B6" s="6" t="s">
        <v>33</v>
      </c>
      <c r="C6" s="6" t="s">
        <v>34</v>
      </c>
      <c r="D6" s="6" t="s">
        <v>35</v>
      </c>
      <c r="E6" s="7">
        <v>0.3875</v>
      </c>
      <c r="F6" s="7">
        <v>0.7569444444444444</v>
      </c>
      <c r="G6" s="6" t="s">
        <v>78</v>
      </c>
    </row>
    <row r="7">
      <c r="A7" s="5">
        <v>46204.0</v>
      </c>
      <c r="B7" s="6" t="s">
        <v>40</v>
      </c>
      <c r="C7" s="6" t="s">
        <v>41</v>
      </c>
      <c r="D7" s="6" t="s">
        <v>9</v>
      </c>
      <c r="E7" s="7">
        <v>0.4027777777777778</v>
      </c>
      <c r="F7" s="7">
        <v>0.7708333333333334</v>
      </c>
      <c r="G7" s="6" t="s">
        <v>79</v>
      </c>
    </row>
    <row r="8">
      <c r="A8" s="5">
        <v>46204.0</v>
      </c>
      <c r="B8" s="6" t="s">
        <v>44</v>
      </c>
      <c r="C8" s="6" t="s">
        <v>45</v>
      </c>
      <c r="D8" s="6" t="s">
        <v>16</v>
      </c>
      <c r="E8" s="7">
        <v>0.38055555555555554</v>
      </c>
      <c r="F8" s="7">
        <v>0.7513888888888889</v>
      </c>
      <c r="G8" s="6" t="s">
        <v>78</v>
      </c>
    </row>
    <row r="9">
      <c r="A9" s="5">
        <v>46204.0</v>
      </c>
      <c r="B9" s="6" t="s">
        <v>49</v>
      </c>
      <c r="C9" s="6" t="s">
        <v>50</v>
      </c>
      <c r="D9" s="6" t="s">
        <v>29</v>
      </c>
      <c r="E9" s="6" t="s">
        <v>80</v>
      </c>
      <c r="F9" s="6" t="s">
        <v>80</v>
      </c>
      <c r="G9" s="6" t="s">
        <v>81</v>
      </c>
    </row>
    <row r="10">
      <c r="A10" s="5">
        <v>46204.0</v>
      </c>
      <c r="B10" s="6" t="s">
        <v>53</v>
      </c>
      <c r="C10" s="6" t="s">
        <v>54</v>
      </c>
      <c r="D10" s="6" t="s">
        <v>22</v>
      </c>
      <c r="E10" s="7">
        <v>0.3854166666666667</v>
      </c>
      <c r="F10" s="7">
        <v>0.7625</v>
      </c>
      <c r="G10" s="6" t="s">
        <v>78</v>
      </c>
    </row>
    <row r="11">
      <c r="A11" s="5">
        <v>46204.0</v>
      </c>
      <c r="B11" s="6" t="s">
        <v>56</v>
      </c>
      <c r="C11" s="6" t="s">
        <v>57</v>
      </c>
      <c r="D11" s="6" t="s">
        <v>35</v>
      </c>
      <c r="E11" s="7">
        <v>0.3770833333333333</v>
      </c>
      <c r="F11" s="7">
        <v>0.7583333333333333</v>
      </c>
      <c r="G11" s="6" t="s">
        <v>78</v>
      </c>
    </row>
    <row r="12">
      <c r="A12" s="5">
        <v>46204.0</v>
      </c>
      <c r="B12" s="6" t="s">
        <v>59</v>
      </c>
      <c r="C12" s="6" t="s">
        <v>60</v>
      </c>
      <c r="D12" s="6" t="s">
        <v>16</v>
      </c>
      <c r="E12" s="7">
        <v>0.39444444444444443</v>
      </c>
      <c r="F12" s="7">
        <v>0.7673611111111112</v>
      </c>
      <c r="G12" s="6" t="s">
        <v>79</v>
      </c>
    </row>
    <row r="13">
      <c r="A13" s="5">
        <v>46204.0</v>
      </c>
      <c r="B13" s="6" t="s">
        <v>62</v>
      </c>
      <c r="C13" s="6" t="s">
        <v>63</v>
      </c>
      <c r="D13" s="6" t="s">
        <v>9</v>
      </c>
      <c r="E13" s="7">
        <v>0.37916666666666665</v>
      </c>
      <c r="F13" s="7">
        <v>0.7555555555555555</v>
      </c>
      <c r="G13" s="6" t="s">
        <v>78</v>
      </c>
    </row>
    <row r="14">
      <c r="A14" s="5">
        <v>46204.0</v>
      </c>
      <c r="B14" s="6" t="s">
        <v>65</v>
      </c>
      <c r="C14" s="6" t="s">
        <v>66</v>
      </c>
      <c r="D14" s="6" t="s">
        <v>29</v>
      </c>
      <c r="E14" s="7">
        <v>0.38472222222222224</v>
      </c>
      <c r="F14" s="7">
        <v>0.7618055555555555</v>
      </c>
      <c r="G14" s="6" t="s">
        <v>78</v>
      </c>
    </row>
    <row r="15">
      <c r="A15" s="5">
        <v>46204.0</v>
      </c>
      <c r="B15" s="6" t="s">
        <v>68</v>
      </c>
      <c r="C15" s="6" t="s">
        <v>69</v>
      </c>
      <c r="D15" s="6" t="s">
        <v>22</v>
      </c>
      <c r="E15" s="6" t="s">
        <v>80</v>
      </c>
      <c r="F15" s="6" t="s">
        <v>80</v>
      </c>
      <c r="G15" s="6" t="s">
        <v>81</v>
      </c>
    </row>
    <row r="16">
      <c r="A16" s="5">
        <v>46204.0</v>
      </c>
      <c r="B16" s="6" t="s">
        <v>71</v>
      </c>
      <c r="C16" s="6" t="s">
        <v>72</v>
      </c>
      <c r="D16" s="6" t="s">
        <v>35</v>
      </c>
      <c r="E16" s="7">
        <v>0.38125</v>
      </c>
      <c r="F16" s="7">
        <v>0.7576388888888889</v>
      </c>
      <c r="G16" s="6" t="s">
        <v>78</v>
      </c>
    </row>
  </sheetData>
  <autoFilter ref="$A$1:$G$16"/>
  <conditionalFormatting sqref="G2:G16">
    <cfRule type="containsText" dxfId="4" priority="1" operator="containsText" text="present">
      <formula>NOT(ISERROR(SEARCH(("present"),(G2))))</formula>
    </cfRule>
  </conditionalFormatting>
  <conditionalFormatting sqref="G2:G16">
    <cfRule type="containsText" dxfId="5" priority="2" operator="containsText" text="late">
      <formula>NOT(ISERROR(SEARCH(("late"),(G2))))</formula>
    </cfRule>
  </conditionalFormatting>
  <conditionalFormatting sqref="G2:G16">
    <cfRule type="containsText" dxfId="6" priority="3" operator="containsText" text="absent">
      <formula>NOT(ISERROR(SEARCH(("absent"),(G2))))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  <col customWidth="1" min="5" max="5" width="16.63"/>
    <col customWidth="1" min="7" max="7" width="18.75"/>
  </cols>
  <sheetData>
    <row r="1">
      <c r="A1" s="4" t="s">
        <v>82</v>
      </c>
      <c r="B1" s="4" t="s">
        <v>74</v>
      </c>
      <c r="C1" s="4" t="s">
        <v>83</v>
      </c>
      <c r="D1" s="4" t="s">
        <v>84</v>
      </c>
      <c r="E1" s="4" t="s">
        <v>85</v>
      </c>
      <c r="F1" s="4" t="s">
        <v>2</v>
      </c>
      <c r="G1" s="4" t="s">
        <v>86</v>
      </c>
      <c r="H1" s="4" t="s">
        <v>87</v>
      </c>
      <c r="I1" s="4" t="s">
        <v>77</v>
      </c>
    </row>
    <row r="2">
      <c r="A2" s="6" t="s">
        <v>88</v>
      </c>
      <c r="B2" s="5">
        <v>46204.0</v>
      </c>
      <c r="C2" s="7">
        <v>0.4166666666666667</v>
      </c>
      <c r="D2" s="6" t="s">
        <v>89</v>
      </c>
      <c r="E2" s="6" t="s">
        <v>11</v>
      </c>
      <c r="F2" s="6" t="s">
        <v>9</v>
      </c>
      <c r="G2" s="6" t="s">
        <v>90</v>
      </c>
      <c r="H2" s="6">
        <v>8.0</v>
      </c>
      <c r="I2" s="6" t="s">
        <v>91</v>
      </c>
    </row>
    <row r="3">
      <c r="A3" s="6" t="s">
        <v>92</v>
      </c>
      <c r="B3" s="5">
        <v>46204.0</v>
      </c>
      <c r="C3" s="7">
        <v>0.4791666666666667</v>
      </c>
      <c r="D3" s="6" t="s">
        <v>93</v>
      </c>
      <c r="E3" s="6" t="s">
        <v>18</v>
      </c>
      <c r="F3" s="6" t="s">
        <v>16</v>
      </c>
      <c r="G3" s="6" t="s">
        <v>94</v>
      </c>
      <c r="H3" s="6">
        <v>6.0</v>
      </c>
      <c r="I3" s="6" t="s">
        <v>91</v>
      </c>
    </row>
    <row r="4">
      <c r="A4" s="6" t="s">
        <v>95</v>
      </c>
      <c r="B4" s="5">
        <v>46204.0</v>
      </c>
      <c r="C4" s="7">
        <v>0.5833333333333334</v>
      </c>
      <c r="D4" s="6" t="s">
        <v>96</v>
      </c>
      <c r="E4" s="6" t="s">
        <v>24</v>
      </c>
      <c r="F4" s="6" t="s">
        <v>22</v>
      </c>
      <c r="G4" s="6" t="s">
        <v>90</v>
      </c>
      <c r="H4" s="6">
        <v>10.0</v>
      </c>
      <c r="I4" s="6" t="s">
        <v>91</v>
      </c>
    </row>
    <row r="5">
      <c r="A5" s="6" t="s">
        <v>97</v>
      </c>
      <c r="B5" s="5">
        <v>46205.0</v>
      </c>
      <c r="C5" s="7">
        <v>0.3958333333333333</v>
      </c>
      <c r="D5" s="6" t="s">
        <v>98</v>
      </c>
      <c r="E5" s="6" t="s">
        <v>31</v>
      </c>
      <c r="F5" s="6" t="s">
        <v>29</v>
      </c>
      <c r="G5" s="6" t="s">
        <v>99</v>
      </c>
      <c r="H5" s="6">
        <v>5.0</v>
      </c>
      <c r="I5" s="6" t="s">
        <v>100</v>
      </c>
    </row>
    <row r="6">
      <c r="A6" s="6" t="s">
        <v>101</v>
      </c>
      <c r="B6" s="5">
        <v>46205.0</v>
      </c>
      <c r="C6" s="7">
        <v>0.4583333333333333</v>
      </c>
      <c r="D6" s="6" t="s">
        <v>102</v>
      </c>
      <c r="E6" s="6" t="s">
        <v>37</v>
      </c>
      <c r="F6" s="6" t="s">
        <v>35</v>
      </c>
      <c r="G6" s="6" t="s">
        <v>103</v>
      </c>
      <c r="H6" s="6">
        <v>7.0</v>
      </c>
      <c r="I6" s="6" t="s">
        <v>100</v>
      </c>
    </row>
    <row r="7">
      <c r="A7" s="6" t="s">
        <v>104</v>
      </c>
      <c r="B7" s="5">
        <v>46206.0</v>
      </c>
      <c r="C7" s="7">
        <v>0.4375</v>
      </c>
      <c r="D7" s="6" t="s">
        <v>105</v>
      </c>
      <c r="E7" s="6" t="s">
        <v>11</v>
      </c>
      <c r="F7" s="6" t="s">
        <v>9</v>
      </c>
      <c r="G7" s="6" t="s">
        <v>94</v>
      </c>
      <c r="H7" s="6">
        <v>9.0</v>
      </c>
      <c r="I7" s="6" t="s">
        <v>100</v>
      </c>
    </row>
    <row r="8">
      <c r="A8" s="6" t="s">
        <v>106</v>
      </c>
      <c r="B8" s="5">
        <v>46206.0</v>
      </c>
      <c r="C8" s="7">
        <v>0.625</v>
      </c>
      <c r="D8" s="6" t="s">
        <v>107</v>
      </c>
      <c r="E8" s="6" t="s">
        <v>18</v>
      </c>
      <c r="F8" s="6" t="s">
        <v>16</v>
      </c>
      <c r="G8" s="6" t="s">
        <v>108</v>
      </c>
      <c r="H8" s="6">
        <v>12.0</v>
      </c>
      <c r="I8" s="6" t="s">
        <v>100</v>
      </c>
    </row>
    <row r="9">
      <c r="A9" s="6" t="s">
        <v>109</v>
      </c>
      <c r="B9" s="5">
        <v>46207.0</v>
      </c>
      <c r="C9" s="7">
        <v>0.375</v>
      </c>
      <c r="D9" s="6" t="s">
        <v>110</v>
      </c>
      <c r="E9" s="6" t="s">
        <v>31</v>
      </c>
      <c r="F9" s="6" t="s">
        <v>29</v>
      </c>
      <c r="G9" s="6" t="s">
        <v>111</v>
      </c>
      <c r="H9" s="6">
        <v>4.0</v>
      </c>
      <c r="I9" s="6" t="s">
        <v>91</v>
      </c>
    </row>
    <row r="10">
      <c r="A10" s="6" t="s">
        <v>112</v>
      </c>
      <c r="B10" s="5">
        <v>46207.0</v>
      </c>
      <c r="C10" s="7">
        <v>0.5416666666666666</v>
      </c>
      <c r="D10" s="6" t="s">
        <v>113</v>
      </c>
      <c r="E10" s="6" t="s">
        <v>24</v>
      </c>
      <c r="F10" s="6" t="s">
        <v>22</v>
      </c>
      <c r="G10" s="6" t="s">
        <v>90</v>
      </c>
      <c r="H10" s="6">
        <v>8.0</v>
      </c>
      <c r="I10" s="6" t="s">
        <v>114</v>
      </c>
    </row>
    <row r="11">
      <c r="A11" s="6" t="s">
        <v>115</v>
      </c>
      <c r="B11" s="5">
        <v>46208.0</v>
      </c>
      <c r="C11" s="7">
        <v>0.4583333333333333</v>
      </c>
      <c r="D11" s="6" t="s">
        <v>116</v>
      </c>
      <c r="E11" s="6" t="s">
        <v>37</v>
      </c>
      <c r="F11" s="6" t="s">
        <v>35</v>
      </c>
      <c r="G11" s="6" t="s">
        <v>103</v>
      </c>
      <c r="H11" s="6">
        <v>6.0</v>
      </c>
      <c r="I11" s="6" t="s">
        <v>100</v>
      </c>
    </row>
  </sheetData>
  <autoFilter ref="$A$1:$I$11"/>
  <conditionalFormatting sqref="I1:I1000">
    <cfRule type="containsText" dxfId="7" priority="1" operator="containsText" text="Completed">
      <formula>NOT(ISERROR(SEARCH(("Completed"),(I1))))</formula>
    </cfRule>
  </conditionalFormatting>
  <conditionalFormatting sqref="I1:I1000">
    <cfRule type="containsText" dxfId="8" priority="2" operator="containsText" text="Scheduled">
      <formula>NOT(ISERROR(SEARCH(("Scheduled"),(I1))))</formula>
    </cfRule>
  </conditionalFormatting>
  <conditionalFormatting sqref="I1:I1000">
    <cfRule type="containsText" dxfId="9" priority="3" operator="containsText" text="cancelled">
      <formula>NOT(ISERROR(SEARCH(("cancelled"),(I1))))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9.75"/>
    <col customWidth="1" min="5" max="5" width="17.13"/>
    <col customWidth="1" min="8" max="8" width="17.88"/>
  </cols>
  <sheetData>
    <row r="1">
      <c r="A1" s="4" t="s">
        <v>117</v>
      </c>
      <c r="B1" s="4" t="s">
        <v>74</v>
      </c>
      <c r="C1" s="4" t="s">
        <v>118</v>
      </c>
      <c r="D1" s="4" t="s">
        <v>119</v>
      </c>
      <c r="E1" s="4" t="s">
        <v>120</v>
      </c>
      <c r="F1" s="4" t="s">
        <v>2</v>
      </c>
      <c r="G1" s="8" t="s">
        <v>121</v>
      </c>
      <c r="H1" s="4" t="s">
        <v>122</v>
      </c>
    </row>
    <row r="2">
      <c r="A2" s="6" t="s">
        <v>123</v>
      </c>
      <c r="B2" s="5">
        <v>46204.0</v>
      </c>
      <c r="C2" s="6" t="s">
        <v>124</v>
      </c>
      <c r="D2" s="6" t="s">
        <v>125</v>
      </c>
      <c r="E2" s="6" t="s">
        <v>8</v>
      </c>
      <c r="F2" s="6" t="s">
        <v>9</v>
      </c>
      <c r="G2" s="9">
        <v>2450.0</v>
      </c>
      <c r="H2" s="6" t="s">
        <v>126</v>
      </c>
    </row>
    <row r="3">
      <c r="A3" s="6" t="s">
        <v>127</v>
      </c>
      <c r="B3" s="5">
        <v>46204.0</v>
      </c>
      <c r="C3" s="6" t="s">
        <v>128</v>
      </c>
      <c r="D3" s="6" t="s">
        <v>129</v>
      </c>
      <c r="E3" s="6" t="s">
        <v>28</v>
      </c>
      <c r="F3" s="6" t="s">
        <v>29</v>
      </c>
      <c r="G3" s="9">
        <v>1250.0</v>
      </c>
      <c r="H3" s="6" t="s">
        <v>126</v>
      </c>
    </row>
    <row r="4">
      <c r="A4" s="6" t="s">
        <v>130</v>
      </c>
      <c r="B4" s="5">
        <v>46205.0</v>
      </c>
      <c r="C4" s="6" t="s">
        <v>131</v>
      </c>
      <c r="D4" s="6" t="s">
        <v>132</v>
      </c>
      <c r="E4" s="6" t="s">
        <v>15</v>
      </c>
      <c r="F4" s="6" t="s">
        <v>16</v>
      </c>
      <c r="G4" s="9">
        <v>3800.0</v>
      </c>
      <c r="H4" s="6" t="s">
        <v>133</v>
      </c>
    </row>
    <row r="5">
      <c r="A5" s="6" t="s">
        <v>134</v>
      </c>
      <c r="B5" s="5">
        <v>46205.0</v>
      </c>
      <c r="C5" s="6" t="s">
        <v>135</v>
      </c>
      <c r="D5" s="6" t="s">
        <v>136</v>
      </c>
      <c r="E5" s="6" t="s">
        <v>34</v>
      </c>
      <c r="F5" s="6" t="s">
        <v>35</v>
      </c>
      <c r="G5" s="9">
        <v>1499.0</v>
      </c>
      <c r="H5" s="6" t="s">
        <v>126</v>
      </c>
    </row>
    <row r="6">
      <c r="A6" s="6" t="s">
        <v>137</v>
      </c>
      <c r="B6" s="5">
        <v>46206.0</v>
      </c>
      <c r="C6" s="6" t="s">
        <v>124</v>
      </c>
      <c r="D6" s="6" t="s">
        <v>138</v>
      </c>
      <c r="E6" s="6" t="s">
        <v>21</v>
      </c>
      <c r="F6" s="6" t="s">
        <v>22</v>
      </c>
      <c r="G6" s="9">
        <v>980.0</v>
      </c>
      <c r="H6" s="6" t="s">
        <v>139</v>
      </c>
    </row>
    <row r="7">
      <c r="A7" s="6" t="s">
        <v>140</v>
      </c>
      <c r="B7" s="5">
        <v>46206.0</v>
      </c>
      <c r="C7" s="6" t="s">
        <v>141</v>
      </c>
      <c r="D7" s="6" t="s">
        <v>142</v>
      </c>
      <c r="E7" s="6" t="s">
        <v>50</v>
      </c>
      <c r="F7" s="6" t="s">
        <v>29</v>
      </c>
      <c r="G7" s="9">
        <v>720.0</v>
      </c>
      <c r="H7" s="6" t="s">
        <v>126</v>
      </c>
    </row>
    <row r="8">
      <c r="A8" s="6" t="s">
        <v>143</v>
      </c>
      <c r="B8" s="5">
        <v>46207.0</v>
      </c>
      <c r="C8" s="6" t="s">
        <v>144</v>
      </c>
      <c r="D8" s="6" t="s">
        <v>145</v>
      </c>
      <c r="E8" s="6" t="s">
        <v>57</v>
      </c>
      <c r="F8" s="6" t="s">
        <v>35</v>
      </c>
      <c r="G8" s="9">
        <v>4500.0</v>
      </c>
      <c r="H8" s="6" t="s">
        <v>133</v>
      </c>
    </row>
    <row r="9">
      <c r="A9" s="6" t="s">
        <v>146</v>
      </c>
      <c r="B9" s="5">
        <v>46207.0</v>
      </c>
      <c r="C9" s="6" t="s">
        <v>147</v>
      </c>
      <c r="D9" s="6" t="s">
        <v>148</v>
      </c>
      <c r="E9" s="6" t="s">
        <v>54</v>
      </c>
      <c r="F9" s="6" t="s">
        <v>22</v>
      </c>
      <c r="G9" s="9">
        <v>6200.0</v>
      </c>
      <c r="H9" s="6" t="s">
        <v>126</v>
      </c>
    </row>
    <row r="10">
      <c r="A10" s="6" t="s">
        <v>149</v>
      </c>
      <c r="B10" s="5">
        <v>46208.0</v>
      </c>
      <c r="C10" s="6" t="s">
        <v>131</v>
      </c>
      <c r="D10" s="6" t="s">
        <v>150</v>
      </c>
      <c r="E10" s="6" t="s">
        <v>60</v>
      </c>
      <c r="F10" s="6" t="s">
        <v>16</v>
      </c>
      <c r="G10" s="9">
        <v>1150.0</v>
      </c>
      <c r="H10" s="6" t="s">
        <v>126</v>
      </c>
    </row>
    <row r="11">
      <c r="A11" s="6" t="s">
        <v>151</v>
      </c>
      <c r="B11" s="5">
        <v>46208.0</v>
      </c>
      <c r="C11" s="6" t="s">
        <v>128</v>
      </c>
      <c r="D11" s="6" t="s">
        <v>152</v>
      </c>
      <c r="E11" s="6" t="s">
        <v>66</v>
      </c>
      <c r="F11" s="6" t="s">
        <v>29</v>
      </c>
      <c r="G11" s="9">
        <v>2350.0</v>
      </c>
      <c r="H11" s="6" t="s">
        <v>133</v>
      </c>
    </row>
    <row r="12">
      <c r="G12" s="10"/>
    </row>
    <row r="13">
      <c r="G13" s="10"/>
    </row>
    <row r="14">
      <c r="G14" s="10"/>
    </row>
    <row r="15">
      <c r="G15" s="10"/>
    </row>
    <row r="16">
      <c r="G16" s="10"/>
    </row>
    <row r="17">
      <c r="G17" s="10"/>
    </row>
    <row r="18">
      <c r="G18" s="10"/>
    </row>
    <row r="19">
      <c r="G19" s="10"/>
    </row>
    <row r="20">
      <c r="G20" s="10"/>
    </row>
    <row r="21"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autoFilter ref="$A$1:$H$11"/>
  <conditionalFormatting sqref="H1:H1000">
    <cfRule type="containsText" dxfId="5" priority="1" operator="containsText" text="pending">
      <formula>NOT(ISERROR(SEARCH(("pending"),(H1))))</formula>
    </cfRule>
  </conditionalFormatting>
  <conditionalFormatting sqref="H1:H1000">
    <cfRule type="containsText" dxfId="7" priority="2" operator="containsText" text="approved">
      <formula>NOT(ISERROR(SEARCH(("approved"),(H1))))</formula>
    </cfRule>
  </conditionalFormatting>
  <conditionalFormatting sqref="H1:H1000">
    <cfRule type="containsText" dxfId="10" priority="3" operator="containsText" text="rejected">
      <formula>NOT(ISERROR(SEARCH(("rejected"),(H1))))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8.5"/>
    <col customWidth="1" min="7" max="7" width="17.13"/>
    <col customWidth="1" min="8" max="8" width="20.0"/>
  </cols>
  <sheetData>
    <row r="1">
      <c r="A1" s="11" t="s">
        <v>153</v>
      </c>
      <c r="K1" s="6" t="s">
        <v>154</v>
      </c>
    </row>
    <row r="2">
      <c r="J2" s="4"/>
      <c r="K2" s="12" t="s">
        <v>155</v>
      </c>
      <c r="P2" s="4" t="s">
        <v>2</v>
      </c>
      <c r="Q2" s="12" t="s">
        <v>156</v>
      </c>
    </row>
    <row r="3">
      <c r="A3" s="13" t="s">
        <v>157</v>
      </c>
      <c r="B3" s="14">
        <f>COUNTA(Employee_Master!A2:A1000)</f>
        <v>15</v>
      </c>
      <c r="D3" s="13" t="s">
        <v>158</v>
      </c>
      <c r="E3" s="15">
        <f>COUNTIF(Attendance!G2:G1000, "Present") + COUNTIF(Attendance!G2:G1000, "Late")</f>
        <v>13</v>
      </c>
      <c r="G3" s="13" t="s">
        <v>159</v>
      </c>
      <c r="H3" s="16">
        <f>COUNTIF(Attendance!G2:G1000,"Absent")</f>
        <v>2</v>
      </c>
      <c r="K3" s="17"/>
      <c r="P3" s="6" t="s">
        <v>9</v>
      </c>
      <c r="Q3" s="17">
        <v>3.0</v>
      </c>
    </row>
    <row r="4">
      <c r="K4" s="17"/>
      <c r="P4" s="6" t="s">
        <v>16</v>
      </c>
      <c r="Q4" s="17">
        <v>3.0</v>
      </c>
    </row>
    <row r="5">
      <c r="K5" s="17"/>
      <c r="P5" s="6" t="s">
        <v>29</v>
      </c>
      <c r="Q5" s="17">
        <v>3.0</v>
      </c>
    </row>
    <row r="6">
      <c r="A6" s="13" t="s">
        <v>160</v>
      </c>
      <c r="B6" s="18">
        <f>COUNTA(Meeting_Scheduler!A2:A1000)</f>
        <v>10</v>
      </c>
      <c r="D6" s="13" t="s">
        <v>161</v>
      </c>
      <c r="E6" s="19">
        <f>COUNTIF(Meeting_Scheduler!I2:I1000,"Scheduled")</f>
        <v>5</v>
      </c>
      <c r="G6" s="13" t="s">
        <v>162</v>
      </c>
      <c r="H6" s="20">
        <f>SUM(Expense_Tracker!G2:G1000)</f>
        <v>24899</v>
      </c>
      <c r="K6" s="17"/>
      <c r="P6" s="6" t="s">
        <v>22</v>
      </c>
      <c r="Q6" s="17">
        <v>3.0</v>
      </c>
    </row>
    <row r="7">
      <c r="K7" s="17"/>
      <c r="P7" s="6" t="s">
        <v>35</v>
      </c>
      <c r="Q7" s="17">
        <v>3.0</v>
      </c>
    </row>
    <row r="9">
      <c r="P9" s="4" t="s">
        <v>118</v>
      </c>
      <c r="Q9" s="12" t="s">
        <v>121</v>
      </c>
    </row>
    <row r="10">
      <c r="J10" s="4"/>
      <c r="K10" s="12"/>
      <c r="P10" s="6" t="s">
        <v>124</v>
      </c>
      <c r="Q10" s="17">
        <v>3430.0</v>
      </c>
    </row>
    <row r="11">
      <c r="K11" s="17"/>
      <c r="P11" s="6" t="s">
        <v>128</v>
      </c>
      <c r="Q11" s="17">
        <v>3600.0</v>
      </c>
    </row>
    <row r="12">
      <c r="K12" s="17"/>
      <c r="P12" s="6" t="s">
        <v>131</v>
      </c>
      <c r="Q12" s="17">
        <v>4950.0</v>
      </c>
    </row>
    <row r="13">
      <c r="K13" s="17"/>
      <c r="P13" s="6" t="s">
        <v>135</v>
      </c>
      <c r="Q13" s="17">
        <v>1499.0</v>
      </c>
    </row>
    <row r="14">
      <c r="K14" s="17"/>
      <c r="P14" s="6" t="s">
        <v>141</v>
      </c>
      <c r="Q14" s="17">
        <v>720.0</v>
      </c>
    </row>
    <row r="15">
      <c r="K15" s="17"/>
      <c r="P15" s="6" t="s">
        <v>144</v>
      </c>
      <c r="Q15" s="17">
        <v>4500.0</v>
      </c>
    </row>
    <row r="16">
      <c r="K16" s="17"/>
      <c r="P16" s="6" t="s">
        <v>147</v>
      </c>
      <c r="Q16" s="17">
        <v>6200.0</v>
      </c>
    </row>
    <row r="17">
      <c r="K17" s="17"/>
    </row>
    <row r="20">
      <c r="J20" s="4" t="s">
        <v>77</v>
      </c>
      <c r="K20" s="12" t="s">
        <v>163</v>
      </c>
    </row>
    <row r="21">
      <c r="J21" s="6" t="s">
        <v>91</v>
      </c>
      <c r="K21" s="17">
        <v>4.0</v>
      </c>
    </row>
    <row r="22">
      <c r="J22" s="6" t="s">
        <v>100</v>
      </c>
      <c r="K22" s="17">
        <v>5.0</v>
      </c>
    </row>
    <row r="23">
      <c r="J23" s="6" t="s">
        <v>114</v>
      </c>
      <c r="K23" s="17">
        <v>1.0</v>
      </c>
    </row>
    <row r="40">
      <c r="A40" s="4" t="s">
        <v>2</v>
      </c>
      <c r="B40" s="12" t="s">
        <v>156</v>
      </c>
    </row>
    <row r="41">
      <c r="A41" s="6" t="s">
        <v>9</v>
      </c>
      <c r="B41" s="17">
        <f t="shared" ref="B41:B45" si="1">COUNTIF(#REF!, A41)</f>
        <v>0</v>
      </c>
    </row>
    <row r="42">
      <c r="A42" s="6" t="s">
        <v>16</v>
      </c>
      <c r="B42" s="17">
        <f t="shared" si="1"/>
        <v>0</v>
      </c>
    </row>
    <row r="43">
      <c r="A43" s="6" t="s">
        <v>29</v>
      </c>
      <c r="B43" s="17">
        <f t="shared" si="1"/>
        <v>0</v>
      </c>
    </row>
    <row r="44">
      <c r="A44" s="6" t="s">
        <v>22</v>
      </c>
      <c r="B44" s="17">
        <f t="shared" si="1"/>
        <v>0</v>
      </c>
    </row>
    <row r="45">
      <c r="A45" s="6" t="s">
        <v>35</v>
      </c>
      <c r="B45" s="17">
        <f t="shared" si="1"/>
        <v>0</v>
      </c>
    </row>
  </sheetData>
  <mergeCells count="1">
    <mergeCell ref="A1:H1"/>
  </mergeCells>
  <drawing r:id="rId1"/>
</worksheet>
</file>